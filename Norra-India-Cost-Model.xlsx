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a Cost Model" sheetId="1" state="visible" r:id="rId3"/>
    <sheet name="Notes &amp; Recommend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<sst xmlns="http://schemas.openxmlformats.org/spreadsheetml/2006/main" count="83" uniqueCount="82">
  <si>
    <t xml:space="preserve">  Norra India (Sarvam) - Infrastructure Cost Model</t>
  </si>
  <si>
    <t xml:space="preserve">Blue = inputs you can change. Black = formulas. All amounts in INR unless noted.</t>
  </si>
  <si>
    <t xml:space="preserve">1. Assumptions (edit the blue cells)</t>
  </si>
  <si>
    <t xml:space="preserve">Sarvam Speech-to-Text (STT)</t>
  </si>
  <si>
    <t xml:space="preserve">Rs 30/hour = Rs 0.50/min  [sarvam.ai/api-pricing]</t>
  </si>
  <si>
    <t xml:space="preserve">Sarvam Text-to-Speech (Bulbul v3)</t>
  </si>
  <si>
    <t xml:space="preserve">~Rs 30/10k chars, agent talk-time</t>
  </si>
  <si>
    <t xml:space="preserve">LLM (Sarvam-M or gpt-4o-mini)</t>
  </si>
  <si>
    <t xml:space="preserve">tokens per call-minute, est.</t>
  </si>
  <si>
    <t xml:space="preserve">Orchestration - Bolna MANAGED</t>
  </si>
  <si>
    <t xml:space="preserve">$0.02/min platform fee  [bolna.ai/pricing]</t>
  </si>
  <si>
    <t xml:space="preserve">Telephony - inbound DID (Plivo/Exotel)</t>
  </si>
  <si>
    <t xml:space="preserve">Rs 0.40-0.90/min normal DID  [plivo.com]</t>
  </si>
  <si>
    <t xml:space="preserve">Phone number rental</t>
  </si>
  <si>
    <t xml:space="preserve">per number, per month (est.)</t>
  </si>
  <si>
    <t xml:space="preserve">Self-host orchestration server</t>
  </si>
  <si>
    <t xml:space="preserve">Bolna OSS on a small CPU VM, per month</t>
  </si>
  <si>
    <t xml:space="preserve">GPU server (self-host Sarvam models)</t>
  </si>
  <si>
    <t xml:space="preserve">always-on L4/A10 GPU, per month (later)</t>
  </si>
  <si>
    <t xml:space="preserve">USD to INR</t>
  </si>
  <si>
    <t xml:space="preserve">fx rate</t>
  </si>
  <si>
    <t xml:space="preserve">Avg call length (minutes)</t>
  </si>
  <si>
    <t xml:space="preserve">for reference</t>
  </si>
  <si>
    <t xml:space="preserve">2. Cost per call-minute</t>
  </si>
  <si>
    <t xml:space="preserve">Component</t>
  </si>
  <si>
    <t xml:space="preserve">Managed</t>
  </si>
  <si>
    <t xml:space="preserve">Self-hosted</t>
  </si>
  <si>
    <t xml:space="preserve">Sarvam STT</t>
  </si>
  <si>
    <t xml:space="preserve">Sarvam TTS</t>
  </si>
  <si>
    <t xml:space="preserve">LLM</t>
  </si>
  <si>
    <t xml:space="preserve">Orchestration</t>
  </si>
  <si>
    <t xml:space="preserve">Telephony (inbound)</t>
  </si>
  <si>
    <t xml:space="preserve">Total per minute</t>
  </si>
  <si>
    <t xml:space="preserve">  approx per minute in USD</t>
  </si>
  <si>
    <t xml:space="preserve">3. Per-client monthly P&amp;L  (by call volume)</t>
  </si>
  <si>
    <t xml:space="preserve">Light 300min</t>
  </si>
  <si>
    <t xml:space="preserve">Medium 600min</t>
  </si>
  <si>
    <t xml:space="preserve">Busy 1000min</t>
  </si>
  <si>
    <t xml:space="preserve">Heavy 1800min</t>
  </si>
  <si>
    <t xml:space="preserve">Call-minutes / month</t>
  </si>
  <si>
    <t xml:space="preserve">Managed - variable cost</t>
  </si>
  <si>
    <t xml:space="preserve">  + phone number</t>
  </si>
  <si>
    <t xml:space="preserve">Managed - total cost</t>
  </si>
  <si>
    <t xml:space="preserve">Self-hosted - variable cost</t>
  </si>
  <si>
    <t xml:space="preserve">Self-hosted - total cost</t>
  </si>
  <si>
    <t xml:space="preserve">4. Gross margin at each plan price (self-hosted)</t>
  </si>
  <si>
    <t xml:space="preserve">Plan</t>
  </si>
  <si>
    <t xml:space="preserve">Starter Rs 2,500</t>
  </si>
  <si>
    <t xml:space="preserve">Pro Rs 6,000</t>
  </si>
  <si>
    <t xml:space="preserve">Multi Rs 12,000</t>
  </si>
  <si>
    <t xml:space="preserve">Negative = priced below cost at that volume. Avoid Starter for high-volume clinics.</t>
  </si>
  <si>
    <t xml:space="preserve">5. When does self-hosting pay off?</t>
  </si>
  <si>
    <t xml:space="preserve">Self-host ORCHESTRATION break-even</t>
  </si>
  <si>
    <t xml:space="preserve">Self-host MODELS (GPU) break-even</t>
  </si>
  <si>
    <t xml:space="preserve">Norra India - Stack &amp; Cost Summary</t>
  </si>
  <si>
    <t xml:space="preserve">DECISION: India = Sarvam for ALL languages (Telugu, Hindi, Kannada, Malayalam, English).</t>
  </si>
  <si>
    <t xml:space="preserve">Canada = Retell/ElevenLabs (neutral North-American accent).</t>
  </si>
  <si>
    <t xml:space="preserve">RECOMMENDED INDIA STACK</t>
  </si>
  <si>
    <t xml:space="preserve">- Voice (STT + TTS): Sarvam Bulbul v3 - best-in-class Telugu, handles Telugu-English code-mixing.</t>
  </si>
  <si>
    <t xml:space="preserve">- LLM: Sarvam-M (Indian languages) or gpt-4o-mini via BYOK to cut cost.</t>
  </si>
  <si>
    <t xml:space="preserve">- Orchestration: Bolna - 'Retell for India', natively integrates Sarvam + Indian telephony.</t>
  </si>
  <si>
    <t xml:space="preserve">    Start on Bolna MANAGED; move to Bolna open-source (self-hosted) once you have ~3 clients.</t>
  </si>
  <si>
    <t xml:space="preserve">- Telephony: Plivo or Exotel - Indian DID number. Requires DLT registration + KYC.</t>
  </si>
  <si>
    <t xml:space="preserve">- Messaging: WhatsApp Business API (confirmations are FREE inside the 24-hr service window).</t>
  </si>
  <si>
    <t xml:space="preserve">- Billing: Razorpay (UPI/cards) - 2% + GST on each payment you collect from clinics.</t>
  </si>
  <si>
    <t xml:space="preserve">WHAT TO SELF-HOST (and when)</t>
  </si>
  <si>
    <t xml:space="preserve">1. Orchestration (Bolna OSS) - YES, early. A cheap CPU VM (~Rs 2,500/mo) serves ALL clients and</t>
  </si>
  <si>
    <t xml:space="preserve">   removes the Rs 1.70/min platform fee. Pays for itself at ~1,500 total min/mo (about 3 clients).</t>
  </si>
  <si>
    <t xml:space="preserve">2. Voice models (AI4Bharat/IndicTTS on your own GPU) - LATER. A GPU box is ~Rs 40,000/mo and</t>
  </si>
  <si>
    <t xml:space="preserve">   only beats Sarvam's API above ~20,000 min/mo (about 20+ active clients). Use Sarvam API until then.</t>
  </si>
  <si>
    <t xml:space="preserve">3. Telephony - CANNOT self-host in India (carrier + DLT regulation). Always use a provider.</t>
  </si>
  <si>
    <t xml:space="preserve">RULE OF THUMB</t>
  </si>
  <si>
    <t xml:space="preserve">- All-in cost is about Rs 5/min managed, about Rs 3.5/min once you self-host orchestration.</t>
  </si>
  <si>
    <t xml:space="preserve">- A busy clinic (~600-1,000 min/mo) on Pro Rs 6,000 gives roughly 45-65% gross margin.</t>
  </si>
  <si>
    <t xml:space="preserve">- Don't promise the Starter Rs 2,500 plan to high-volume clinics - margin gets thin or negative.</t>
  </si>
  <si>
    <t xml:space="preserve">REGULATORY / DATA</t>
  </si>
  <si>
    <t xml:space="preserve">- DPDP Act applies - hospitals handle sensitive health data; keep data in-region, get consent.</t>
  </si>
  <si>
    <t xml:space="preserve">- Phone numbers need DLT registration (TRAI) before they can take/make calls.</t>
  </si>
  <si>
    <t xml:space="preserve">SOURCES</t>
  </si>
  <si>
    <t xml:space="preserve">Sarvam: sarvam.ai/api-pricing  |  Bolna: bolna.ai/pricing + github.com/bolna-ai/bolna</t>
  </si>
  <si>
    <t xml:space="preserve">Plivo India voice: plivo.com/voice/pricing/in  |  WhatsApp &amp; Razorpay: see chat sources</t>
  </si>
  <si>
    <t xml:space="preserve">All figures are planning estimates - confirm live rates before committing prices to clients.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</si>
</sst>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.00"/>
    <numFmt numFmtId="166" formatCode="\₹#,##0"/>
    <numFmt numFmtId="167" formatCode="#,##0"/>
    <numFmt numFmtId="168" formatCode="#,##0.0"/>
    <numFmt numFmtId="169" formatCode="\$#,##0.000"/>
    <numFmt numFmtId="170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2"/>
      <color rgb="FF15564A"/>
      <name val="Arial"/>
      <family val="0"/>
      <charset val="1"/>
    </font>
    <font>
      <b val="true"/>
      <sz val="11"/>
      <color rgb="FF15564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564A"/>
        <bgColor rgb="FF333333"/>
      </patternFill>
    </fill>
    <fill>
      <patternFill patternType="solid">
        <fgColor rgb="FFD6EFE6"/>
        <bgColor rgb="FFCCFFFF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DE7"/>
      <rgbColor rgb="FFD6EF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556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3</v>
      </c>
      <c r="B5" s="5" t="n">
        <v>0.5</v>
      </c>
      <c r="C5" s="6" t="s">
        <v>4</v>
      </c>
      <c r="D5" s="6"/>
      <c r="E5" s="6"/>
      <c r="F5" s="6"/>
      <c r="G5" s="6"/>
    </row>
    <row r="6" customFormat="false" ht="15" hidden="false" customHeight="false" outlineLevel="0" collapsed="false">
      <c r="A6" s="4" t="s">
        <v>5</v>
      </c>
      <c r="B6" s="5" t="n">
        <v>1.5</v>
      </c>
      <c r="C6" s="6" t="s">
        <v>6</v>
      </c>
      <c r="D6" s="6"/>
      <c r="E6" s="6"/>
      <c r="F6" s="6"/>
      <c r="G6" s="6"/>
    </row>
    <row r="7" customFormat="false" ht="15" hidden="false" customHeight="false" outlineLevel="0" collapsed="false">
      <c r="A7" s="4" t="s">
        <v>7</v>
      </c>
      <c r="B7" s="5" t="n">
        <v>0.8</v>
      </c>
      <c r="C7" s="6" t="s">
        <v>8</v>
      </c>
      <c r="D7" s="6"/>
      <c r="E7" s="6"/>
      <c r="F7" s="6"/>
      <c r="G7" s="6"/>
    </row>
    <row r="8" customFormat="false" ht="15" hidden="false" customHeight="false" outlineLevel="0" collapsed="false">
      <c r="A8" s="4" t="s">
        <v>9</v>
      </c>
      <c r="B8" s="5" t="n">
        <v>1.7</v>
      </c>
      <c r="C8" s="6" t="s">
        <v>10</v>
      </c>
      <c r="D8" s="6"/>
      <c r="E8" s="6"/>
      <c r="F8" s="6"/>
      <c r="G8" s="6"/>
    </row>
    <row r="9" customFormat="false" ht="15" hidden="false" customHeight="false" outlineLevel="0" collapsed="false">
      <c r="A9" s="4" t="s">
        <v>11</v>
      </c>
      <c r="B9" s="5" t="n">
        <v>0.7</v>
      </c>
      <c r="C9" s="6" t="s">
        <v>12</v>
      </c>
      <c r="D9" s="6"/>
      <c r="E9" s="6"/>
      <c r="F9" s="6"/>
      <c r="G9" s="6"/>
    </row>
    <row r="10" customFormat="false" ht="15" hidden="false" customHeight="false" outlineLevel="0" collapsed="false">
      <c r="A10" s="4" t="s">
        <v>13</v>
      </c>
      <c r="B10" s="7" t="n">
        <v>500</v>
      </c>
      <c r="C10" s="6" t="s">
        <v>14</v>
      </c>
      <c r="D10" s="6"/>
      <c r="E10" s="6"/>
      <c r="F10" s="6"/>
      <c r="G10" s="6"/>
    </row>
    <row r="11" customFormat="false" ht="15" hidden="false" customHeight="false" outlineLevel="0" collapsed="false">
      <c r="A11" s="4" t="s">
        <v>15</v>
      </c>
      <c r="B11" s="7" t="n">
        <v>2500</v>
      </c>
      <c r="C11" s="6" t="s">
        <v>16</v>
      </c>
      <c r="D11" s="6"/>
      <c r="E11" s="6"/>
      <c r="F11" s="6"/>
      <c r="G11" s="6"/>
    </row>
    <row r="12" customFormat="false" ht="15" hidden="false" customHeight="false" outlineLevel="0" collapsed="false">
      <c r="A12" s="4" t="s">
        <v>17</v>
      </c>
      <c r="B12" s="7" t="n">
        <v>40000</v>
      </c>
      <c r="C12" s="6" t="s">
        <v>18</v>
      </c>
      <c r="D12" s="6"/>
      <c r="E12" s="6"/>
      <c r="F12" s="6"/>
      <c r="G12" s="6"/>
    </row>
    <row r="13" customFormat="false" ht="15" hidden="false" customHeight="false" outlineLevel="0" collapsed="false">
      <c r="A13" s="4" t="s">
        <v>19</v>
      </c>
      <c r="B13" s="8" t="n">
        <v>83</v>
      </c>
      <c r="C13" s="6" t="s">
        <v>20</v>
      </c>
      <c r="D13" s="6"/>
      <c r="E13" s="6"/>
      <c r="F13" s="6"/>
      <c r="G13" s="6"/>
    </row>
    <row r="14" customFormat="false" ht="15" hidden="false" customHeight="false" outlineLevel="0" collapsed="false">
      <c r="A14" s="4" t="s">
        <v>21</v>
      </c>
      <c r="B14" s="9" t="n">
        <v>2.5</v>
      </c>
      <c r="C14" s="6" t="s">
        <v>22</v>
      </c>
      <c r="D14" s="6"/>
      <c r="E14" s="6"/>
      <c r="F14" s="6"/>
      <c r="G14" s="6"/>
    </row>
    <row r="16" customFormat="false" ht="15" hidden="false" customHeight="false" outlineLevel="0" collapsed="false">
      <c r="A16" s="3" t="s">
        <v>23</v>
      </c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10" t="s">
        <v>24</v>
      </c>
      <c r="B17" s="10" t="s">
        <v>25</v>
      </c>
      <c r="C17" s="10" t="s">
        <v>26</v>
      </c>
    </row>
    <row r="18" customFormat="false" ht="15" hidden="false" customHeight="false" outlineLevel="0" collapsed="false">
      <c r="A18" s="11" t="s">
        <v>27</v>
      </c>
      <c r="B18" s="12" t="n">
        <f aca="false">$B$5</f>
        <v>0.5</v>
      </c>
      <c r="C18" s="12" t="n">
        <f aca="false">$B$5</f>
        <v>0.5</v>
      </c>
    </row>
    <row r="19" customFormat="false" ht="15" hidden="false" customHeight="false" outlineLevel="0" collapsed="false">
      <c r="A19" s="11" t="s">
        <v>28</v>
      </c>
      <c r="B19" s="12" t="n">
        <f aca="false">$B$6</f>
        <v>1.5</v>
      </c>
      <c r="C19" s="12" t="n">
        <f aca="false">$B$6</f>
        <v>1.5</v>
      </c>
    </row>
    <row r="20" customFormat="false" ht="15" hidden="false" customHeight="false" outlineLevel="0" collapsed="false">
      <c r="A20" s="11" t="s">
        <v>29</v>
      </c>
      <c r="B20" s="12" t="n">
        <f aca="false">$B$7</f>
        <v>0.8</v>
      </c>
      <c r="C20" s="12" t="n">
        <f aca="false">$B$7</f>
        <v>0.8</v>
      </c>
    </row>
    <row r="21" customFormat="false" ht="15" hidden="false" customHeight="false" outlineLevel="0" collapsed="false">
      <c r="A21" s="11" t="s">
        <v>30</v>
      </c>
      <c r="B21" s="12" t="n">
        <f aca="false">$B$8</f>
        <v>1.7</v>
      </c>
      <c r="C21" s="12" t="n">
        <f aca="false">0</f>
        <v>0</v>
      </c>
    </row>
    <row r="22" customFormat="false" ht="15" hidden="false" customHeight="false" outlineLevel="0" collapsed="false">
      <c r="A22" s="11" t="s">
        <v>31</v>
      </c>
      <c r="B22" s="12" t="n">
        <f aca="false">$B$9</f>
        <v>0.7</v>
      </c>
      <c r="C22" s="12" t="n">
        <f aca="false">$B$9</f>
        <v>0.7</v>
      </c>
    </row>
    <row r="23" customFormat="false" ht="15" hidden="false" customHeight="false" outlineLevel="0" collapsed="false">
      <c r="A23" s="13" t="s">
        <v>32</v>
      </c>
      <c r="B23" s="14" t="n">
        <f aca="false">SUM(B18:B22)</f>
        <v>5.2</v>
      </c>
      <c r="C23" s="14" t="n">
        <f aca="false">SUM(C18:C22)</f>
        <v>3.5</v>
      </c>
    </row>
    <row r="24" customFormat="false" ht="15" hidden="false" customHeight="false" outlineLevel="0" collapsed="false">
      <c r="A24" s="15" t="s">
        <v>33</v>
      </c>
      <c r="B24" s="16" t="n">
        <f aca="false">B23/$B$13</f>
        <v>0.0626506024096386</v>
      </c>
      <c r="C24" s="16" t="n">
        <f aca="false">C23/$B$13</f>
        <v>0.0421686746987952</v>
      </c>
    </row>
    <row r="26" customFormat="false" ht="15" hidden="false" customHeight="false" outlineLevel="0" collapsed="false">
      <c r="A26" s="3" t="s">
        <v>34</v>
      </c>
      <c r="B26" s="3"/>
      <c r="C26" s="3"/>
      <c r="D26" s="3"/>
      <c r="E26" s="3"/>
      <c r="F26" s="3"/>
      <c r="G26" s="3"/>
    </row>
    <row r="27" customFormat="false" ht="26.85" hidden="false" customHeight="false" outlineLevel="0" collapsed="false">
      <c r="A27" s="17"/>
      <c r="B27" s="17" t="s">
        <v>35</v>
      </c>
      <c r="C27" s="17" t="s">
        <v>36</v>
      </c>
      <c r="D27" s="17" t="s">
        <v>37</v>
      </c>
      <c r="E27" s="17" t="s">
        <v>38</v>
      </c>
    </row>
    <row r="28" customFormat="false" ht="15" hidden="false" customHeight="false" outlineLevel="0" collapsed="false">
      <c r="A28" s="15" t="s">
        <v>39</v>
      </c>
      <c r="B28" s="18" t="n">
        <v>300</v>
      </c>
      <c r="C28" s="18" t="n">
        <v>600</v>
      </c>
      <c r="D28" s="18" t="n">
        <v>1000</v>
      </c>
      <c r="E28" s="18" t="n">
        <v>1800</v>
      </c>
    </row>
    <row r="29" customFormat="false" ht="15" hidden="false" customHeight="false" outlineLevel="0" collapsed="false">
      <c r="A29" s="11" t="s">
        <v>40</v>
      </c>
      <c r="B29" s="19" t="n">
        <f aca="false">B28*$B$23</f>
        <v>1560</v>
      </c>
      <c r="C29" s="19" t="n">
        <f aca="false">C28*$B$23</f>
        <v>3120</v>
      </c>
      <c r="D29" s="19" t="n">
        <f aca="false">D28*$B$23</f>
        <v>5200</v>
      </c>
      <c r="E29" s="19" t="n">
        <f aca="false">E28*$B$23</f>
        <v>9360</v>
      </c>
    </row>
    <row r="30" customFormat="false" ht="15" hidden="false" customHeight="false" outlineLevel="0" collapsed="false">
      <c r="A30" s="11" t="s">
        <v>41</v>
      </c>
      <c r="B30" s="19" t="n">
        <f aca="false">$B$10</f>
        <v>500</v>
      </c>
      <c r="C30" s="19" t="n">
        <f aca="false">$B$10</f>
        <v>500</v>
      </c>
      <c r="D30" s="19" t="n">
        <f aca="false">$B$10</f>
        <v>500</v>
      </c>
      <c r="E30" s="19" t="n">
        <f aca="false">$B$10</f>
        <v>500</v>
      </c>
    </row>
    <row r="31" customFormat="false" ht="15" hidden="false" customHeight="false" outlineLevel="0" collapsed="false">
      <c r="A31" s="13" t="s">
        <v>42</v>
      </c>
      <c r="B31" s="20" t="n">
        <f aca="false">B29+B30</f>
        <v>2060</v>
      </c>
      <c r="C31" s="20" t="n">
        <f aca="false">C29+C30</f>
        <v>3620</v>
      </c>
      <c r="D31" s="20" t="n">
        <f aca="false">D29+D30</f>
        <v>5700</v>
      </c>
      <c r="E31" s="20" t="n">
        <f aca="false">E29+E30</f>
        <v>9860</v>
      </c>
    </row>
    <row r="32" customFormat="false" ht="15" hidden="false" customHeight="false" outlineLevel="0" collapsed="false">
      <c r="A32" s="11" t="s">
        <v>43</v>
      </c>
      <c r="B32" s="19" t="n">
        <f aca="false">B28*$C$23</f>
        <v>1050</v>
      </c>
      <c r="C32" s="19" t="n">
        <f aca="false">C28*$C$23</f>
        <v>2100</v>
      </c>
      <c r="D32" s="19" t="n">
        <f aca="false">D28*$C$23</f>
        <v>3500</v>
      </c>
      <c r="E32" s="19" t="n">
        <f aca="false">E28*$C$23</f>
        <v>6300</v>
      </c>
    </row>
    <row r="33" customFormat="false" ht="15" hidden="false" customHeight="false" outlineLevel="0" collapsed="false">
      <c r="A33" s="11" t="s">
        <v>41</v>
      </c>
      <c r="B33" s="19" t="n">
        <f aca="false">$B$10</f>
        <v>500</v>
      </c>
      <c r="C33" s="19" t="n">
        <f aca="false">$B$10</f>
        <v>500</v>
      </c>
      <c r="D33" s="19" t="n">
        <f aca="false">$B$10</f>
        <v>500</v>
      </c>
      <c r="E33" s="19" t="n">
        <f aca="false">$B$10</f>
        <v>500</v>
      </c>
    </row>
    <row r="34" customFormat="false" ht="15" hidden="false" customHeight="false" outlineLevel="0" collapsed="false">
      <c r="A34" s="13" t="s">
        <v>44</v>
      </c>
      <c r="B34" s="20" t="n">
        <f aca="false">B32+B33</f>
        <v>1550</v>
      </c>
      <c r="C34" s="20" t="n">
        <f aca="false">C32+C33</f>
        <v>2600</v>
      </c>
      <c r="D34" s="20" t="n">
        <f aca="false">D32+D33</f>
        <v>4000</v>
      </c>
      <c r="E34" s="20" t="n">
        <f aca="false">E32+E33</f>
        <v>6800</v>
      </c>
    </row>
    <row r="36" customFormat="false" ht="15" hidden="false" customHeight="false" outlineLevel="0" collapsed="false">
      <c r="A36" s="3" t="s">
        <v>45</v>
      </c>
      <c r="B36" s="3"/>
      <c r="C36" s="3"/>
      <c r="D36" s="3"/>
      <c r="E36" s="3"/>
      <c r="F36" s="3"/>
      <c r="G36" s="3"/>
    </row>
    <row r="37" customFormat="false" ht="15" hidden="false" customHeight="false" outlineLevel="0" collapsed="false">
      <c r="A37" s="13" t="s">
        <v>46</v>
      </c>
      <c r="B37" s="11"/>
      <c r="C37" s="11"/>
      <c r="D37" s="11"/>
      <c r="E37" s="11"/>
    </row>
    <row r="38" customFormat="false" ht="15" hidden="false" customHeight="false" outlineLevel="0" collapsed="false">
      <c r="A38" s="21" t="s">
        <v>47</v>
      </c>
      <c r="B38" s="22" t="n">
        <f aca="false">(2500-B34)/2500</f>
        <v>0.38</v>
      </c>
      <c r="C38" s="22" t="n">
        <f aca="false">(2500-C34)/2500</f>
        <v>-0.04</v>
      </c>
      <c r="D38" s="22" t="n">
        <f aca="false">(2500-D34)/2500</f>
        <v>-0.6</v>
      </c>
      <c r="E38" s="22" t="n">
        <f aca="false">(2500-E34)/2500</f>
        <v>-1.72</v>
      </c>
    </row>
    <row r="39" customFormat="false" ht="15" hidden="false" customHeight="false" outlineLevel="0" collapsed="false">
      <c r="A39" s="21" t="s">
        <v>48</v>
      </c>
      <c r="B39" s="22" t="n">
        <f aca="false">(6000-B34)/6000</f>
        <v>0.741666666666667</v>
      </c>
      <c r="C39" s="22" t="n">
        <f aca="false">(6000-C34)/6000</f>
        <v>0.566666666666667</v>
      </c>
      <c r="D39" s="22" t="n">
        <f aca="false">(6000-D34)/6000</f>
        <v>0.333333333333333</v>
      </c>
      <c r="E39" s="22" t="n">
        <f aca="false">(6000-E34)/6000</f>
        <v>-0.133333333333333</v>
      </c>
    </row>
    <row r="40" customFormat="false" ht="15" hidden="false" customHeight="false" outlineLevel="0" collapsed="false">
      <c r="A40" s="21" t="s">
        <v>49</v>
      </c>
      <c r="B40" s="22" t="n">
        <f aca="false">(12000-B34)/12000</f>
        <v>0.870833333333333</v>
      </c>
      <c r="C40" s="22" t="n">
        <f aca="false">(12000-C34)/12000</f>
        <v>0.783333333333333</v>
      </c>
      <c r="D40" s="22" t="n">
        <f aca="false">(12000-D34)/12000</f>
        <v>0.666666666666667</v>
      </c>
      <c r="E40" s="22" t="n">
        <f aca="false">(12000-E34)/12000</f>
        <v>0.433333333333333</v>
      </c>
    </row>
    <row r="41" customFormat="false" ht="15" hidden="false" customHeight="false" outlineLevel="0" collapsed="false">
      <c r="A41" s="23" t="s">
        <v>50</v>
      </c>
      <c r="B41" s="23"/>
      <c r="C41" s="23"/>
      <c r="D41" s="23"/>
      <c r="E41" s="23"/>
      <c r="F41" s="23"/>
      <c r="G41" s="23"/>
    </row>
    <row r="43" customFormat="false" ht="15" hidden="false" customHeight="false" outlineLevel="0" collapsed="false">
      <c r="A43" s="3" t="s">
        <v>51</v>
      </c>
      <c r="B43" s="3"/>
      <c r="C43" s="3"/>
      <c r="D43" s="3"/>
      <c r="E43" s="3"/>
      <c r="F43" s="3"/>
      <c r="G43" s="3"/>
    </row>
    <row r="44" customFormat="false" ht="15" hidden="false" customHeight="false" outlineLevel="0" collapsed="false">
      <c r="A44" s="4" t="s">
        <v>52</v>
      </c>
      <c r="B44" s="24" t="n">
        <f aca="false">$B$11/$B$8</f>
        <v>1470.58823529412</v>
      </c>
      <c r="C44" s="6" t="str">
        <f aca="false">"min/mo total across clients (~3 clients) - do this early"</f>
        <v>min/mo total across clients (~3 clients) - do this early</v>
      </c>
      <c r="D44" s="6"/>
      <c r="E44" s="6"/>
      <c r="F44" s="6"/>
      <c r="G44" s="6"/>
    </row>
    <row r="45" customFormat="false" ht="15" hidden="false" customHeight="false" outlineLevel="0" collapsed="false">
      <c r="A45" s="4" t="s">
        <v>53</v>
      </c>
      <c r="B45" s="24" t="n">
        <f aca="false">$B$12/($B$5+$B$6)</f>
        <v>20000</v>
      </c>
      <c r="C45" s="6" t="str">
        <f aca="false">"min/mo total - only at high scale (~20+ clients). Use Sarvam API until then."</f>
        <v>min/mo total - only at high scale (~20+ clients). Use Sarvam API until then.</v>
      </c>
      <c r="D45" s="6"/>
      <c r="E45" s="6"/>
      <c r="F45" s="6"/>
      <c r="G45" s="6"/>
    </row>
  </sheetData>
  <mergeCells count="20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A16:G16"/>
    <mergeCell ref="A26:G26"/>
    <mergeCell ref="A36:G36"/>
    <mergeCell ref="A41:G41"/>
    <mergeCell ref="A43:G43"/>
    <mergeCell ref="C44:G44"/>
    <mergeCell ref="C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5" hidden="false" customHeight="false" outlineLevel="0" collapsed="false">
      <c r="A1" s="25" t="s">
        <v>54</v>
      </c>
    </row>
    <row r="2" customFormat="false" ht="15" hidden="false" customHeight="false" outlineLevel="0" collapsed="false">
      <c r="A2" s="26"/>
    </row>
    <row r="3" customFormat="false" ht="15" hidden="false" customHeight="false" outlineLevel="0" collapsed="false">
      <c r="A3" s="26" t="s">
        <v>55</v>
      </c>
    </row>
    <row r="4" customFormat="false" ht="15" hidden="false" customHeight="false" outlineLevel="0" collapsed="false">
      <c r="A4" s="26" t="s">
        <v>56</v>
      </c>
    </row>
    <row r="5" customFormat="false" ht="15" hidden="false" customHeight="false" outlineLevel="0" collapsed="false">
      <c r="A5" s="26"/>
    </row>
    <row r="6" customFormat="false" ht="15" hidden="false" customHeight="false" outlineLevel="0" collapsed="false">
      <c r="A6" s="27" t="s">
        <v>57</v>
      </c>
    </row>
    <row r="7" customFormat="false" ht="15" hidden="false" customHeight="false" outlineLevel="0" collapsed="false">
      <c r="A7" s="26" t="s">
        <v>58</v>
      </c>
    </row>
    <row r="8" customFormat="false" ht="15" hidden="false" customHeight="false" outlineLevel="0" collapsed="false">
      <c r="A8" s="26" t="s">
        <v>59</v>
      </c>
    </row>
    <row r="9" customFormat="false" ht="15" hidden="false" customHeight="false" outlineLevel="0" collapsed="false">
      <c r="A9" s="26" t="s">
        <v>60</v>
      </c>
    </row>
    <row r="10" customFormat="false" ht="15" hidden="false" customHeight="false" outlineLevel="0" collapsed="false">
      <c r="A10" s="26" t="s">
        <v>61</v>
      </c>
    </row>
    <row r="11" customFormat="false" ht="15" hidden="false" customHeight="false" outlineLevel="0" collapsed="false">
      <c r="A11" s="26" t="s">
        <v>62</v>
      </c>
    </row>
    <row r="12" customFormat="false" ht="15" hidden="false" customHeight="false" outlineLevel="0" collapsed="false">
      <c r="A12" s="26" t="s">
        <v>63</v>
      </c>
    </row>
    <row r="13" customFormat="false" ht="15" hidden="false" customHeight="false" outlineLevel="0" collapsed="false">
      <c r="A13" s="26" t="s">
        <v>64</v>
      </c>
    </row>
    <row r="14" customFormat="false" ht="15" hidden="false" customHeight="false" outlineLevel="0" collapsed="false">
      <c r="A14" s="26"/>
    </row>
    <row r="15" customFormat="false" ht="15" hidden="false" customHeight="false" outlineLevel="0" collapsed="false">
      <c r="A15" s="27" t="s">
        <v>65</v>
      </c>
    </row>
    <row r="16" customFormat="false" ht="15" hidden="false" customHeight="false" outlineLevel="0" collapsed="false">
      <c r="A16" s="26" t="s">
        <v>66</v>
      </c>
    </row>
    <row r="17" customFormat="false" ht="15" hidden="false" customHeight="false" outlineLevel="0" collapsed="false">
      <c r="A17" s="26" t="s">
        <v>67</v>
      </c>
    </row>
    <row r="18" customFormat="false" ht="15" hidden="false" customHeight="false" outlineLevel="0" collapsed="false">
      <c r="A18" s="26" t="s">
        <v>68</v>
      </c>
    </row>
    <row r="19" customFormat="false" ht="15" hidden="false" customHeight="false" outlineLevel="0" collapsed="false">
      <c r="A19" s="26" t="s">
        <v>69</v>
      </c>
    </row>
    <row r="20" customFormat="false" ht="15" hidden="false" customHeight="false" outlineLevel="0" collapsed="false">
      <c r="A20" s="26" t="s">
        <v>70</v>
      </c>
    </row>
    <row r="21" customFormat="false" ht="15" hidden="false" customHeight="false" outlineLevel="0" collapsed="false">
      <c r="A21" s="26"/>
    </row>
    <row r="22" customFormat="false" ht="15" hidden="false" customHeight="false" outlineLevel="0" collapsed="false">
      <c r="A22" s="27" t="s">
        <v>71</v>
      </c>
    </row>
    <row r="23" customFormat="false" ht="15" hidden="false" customHeight="false" outlineLevel="0" collapsed="false">
      <c r="A23" s="26" t="s">
        <v>72</v>
      </c>
    </row>
    <row r="24" customFormat="false" ht="15" hidden="false" customHeight="false" outlineLevel="0" collapsed="false">
      <c r="A24" s="26" t="s">
        <v>73</v>
      </c>
    </row>
    <row r="25" customFormat="false" ht="15" hidden="false" customHeight="false" outlineLevel="0" collapsed="false">
      <c r="A25" s="26" t="s">
        <v>74</v>
      </c>
    </row>
    <row r="26" customFormat="false" ht="15" hidden="false" customHeight="false" outlineLevel="0" collapsed="false">
      <c r="A26" s="26"/>
    </row>
    <row r="27" customFormat="false" ht="15" hidden="false" customHeight="false" outlineLevel="0" collapsed="false">
      <c r="A27" s="27" t="s">
        <v>75</v>
      </c>
    </row>
    <row r="28" customFormat="false" ht="15" hidden="false" customHeight="false" outlineLevel="0" collapsed="false">
      <c r="A28" s="26" t="s">
        <v>76</v>
      </c>
    </row>
    <row r="29" customFormat="false" ht="15" hidden="false" customHeight="false" outlineLevel="0" collapsed="false">
      <c r="A29" s="26" t="s">
        <v>77</v>
      </c>
    </row>
    <row r="30" customFormat="false" ht="15" hidden="false" customHeight="false" outlineLevel="0" collapsed="false">
      <c r="A30" s="26"/>
    </row>
    <row r="31" customFormat="false" ht="15" hidden="false" customHeight="false" outlineLevel="0" collapsed="false">
      <c r="A31" s="27" t="s">
        <v>78</v>
      </c>
    </row>
    <row r="32" customFormat="false" ht="15" hidden="false" customHeight="false" outlineLevel="0" collapsed="false">
      <c r="A32" s="26" t="s">
        <v>79</v>
      </c>
    </row>
    <row r="33" customFormat="false" ht="15" hidden="false" customHeight="false" outlineLevel="0" collapsed="false">
      <c r="A33" s="26" t="s">
        <v>80</v>
      </c>
    </row>
    <row r="34" customFormat="false" ht="15" hidden="false" customHeight="false" outlineLevel="0" collapsed="false">
      <c r="A34" s="26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2026-06-03T16:04:25Z</dcterms:created>
  <dc:creator>openpyxl</dc:creator>
  <dc:description/>
  <dc:language>en-US</dc:language>
  <cp:lastModifiedBy/>
  <dcterms:modified xsi:type="dcterms:W3CDTF">2026-06-03T16:04:25Z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